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nst\Downloads\"/>
    </mc:Choice>
  </mc:AlternateContent>
  <xr:revisionPtr revIDLastSave="0" documentId="8_{32308B5C-1906-487C-AB9F-722AABC1BBEF}" xr6:coauthVersionLast="47" xr6:coauthVersionMax="47" xr10:uidLastSave="{00000000-0000-0000-0000-000000000000}"/>
  <bookViews>
    <workbookView xWindow="-120" yWindow="-120" windowWidth="29040" windowHeight="15720" xr2:uid="{C61B1006-83B4-4CBA-ADF9-7D9B50D2FBF8}"/>
  </bookViews>
  <sheets>
    <sheet name="App Meus FIIs" sheetId="1" r:id="rId1"/>
    <sheet name="Planilha2" sheetId="2" r:id="rId2"/>
  </sheets>
  <definedNames>
    <definedName name="anos">'App Meus FIIs'!$F$22</definedName>
    <definedName name="Meu_Salario">'App Meus FIIs'!$E$15</definedName>
    <definedName name="patrimonio">'App Meus FIIs'!$F$24</definedName>
    <definedName name="rendimentodacarteira">'App Meus FIIs'!$E$16</definedName>
    <definedName name="Suges_invest">'App Meus FIIs'!$E$17</definedName>
    <definedName name="tax_rend_mes">'App Meus FIIs'!$F$23</definedName>
    <definedName name="valor_aportado">'App Meus FIIs'!$F$21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0" i="1" l="1"/>
  <c r="D41" i="1"/>
  <c r="D42" i="1"/>
  <c r="F42" i="1" s="1"/>
  <c r="D43" i="1"/>
  <c r="F43" i="1" s="1"/>
  <c r="D44" i="1"/>
  <c r="F44" i="1" s="1"/>
  <c r="D39" i="1"/>
  <c r="F39" i="1" s="1"/>
  <c r="A8" i="2"/>
  <c r="A9" i="2"/>
  <c r="A10" i="2"/>
  <c r="A11" i="2"/>
  <c r="A12" i="2"/>
  <c r="A13" i="2"/>
  <c r="A14" i="2"/>
  <c r="A15" i="2"/>
  <c r="A16" i="2"/>
  <c r="A17" i="2"/>
  <c r="A18" i="2"/>
  <c r="A19" i="2"/>
  <c r="A3" i="2"/>
  <c r="A4" i="2"/>
  <c r="A5" i="2"/>
  <c r="A6" i="2"/>
  <c r="A7" i="2"/>
  <c r="A2" i="2"/>
  <c r="F37" i="1"/>
  <c r="F24" i="1"/>
  <c r="F25" i="1" s="1"/>
  <c r="E17" i="1"/>
  <c r="E33" i="1"/>
  <c r="F33" i="1" s="1"/>
  <c r="E32" i="1"/>
  <c r="F32" i="1" s="1"/>
  <c r="E31" i="1"/>
  <c r="F31" i="1" s="1"/>
  <c r="E30" i="1"/>
  <c r="F30" i="1" s="1"/>
  <c r="E29" i="1"/>
  <c r="F29" i="1" s="1"/>
  <c r="F41" i="1" l="1"/>
  <c r="F40" i="1"/>
  <c r="F45" i="1"/>
</calcChain>
</file>

<file path=xl/sharedStrings.xml><?xml version="1.0" encoding="utf-8"?>
<sst xmlns="http://schemas.openxmlformats.org/spreadsheetml/2006/main" count="73" uniqueCount="39">
  <si>
    <t>Vamos começar por aqui!</t>
  </si>
  <si>
    <t>Calculadora de Investimento Mensal</t>
  </si>
  <si>
    <t>Se eu investir todo mês:</t>
  </si>
  <si>
    <t>Com uma taxa de rendimento mensal de:</t>
  </si>
  <si>
    <t>Ao final de todos estes anos terei:</t>
  </si>
  <si>
    <t>E todo mês vou ganhar na minha conta em dividendos:</t>
  </si>
  <si>
    <t>Previsões para me animar ainda mais a investir sempre:</t>
  </si>
  <si>
    <t>Por 2 anos:</t>
  </si>
  <si>
    <t>Por 5 anos:</t>
  </si>
  <si>
    <t>Por 10 anos:</t>
  </si>
  <si>
    <t>Por 20 anos:</t>
  </si>
  <si>
    <t>Por 30 anos:</t>
  </si>
  <si>
    <t>Patrimônio</t>
  </si>
  <si>
    <t>Dividendos</t>
  </si>
  <si>
    <t>No teste da corretora, fui classificado como um investidor:</t>
  </si>
  <si>
    <t>Tipo de FII</t>
  </si>
  <si>
    <t>Valor</t>
  </si>
  <si>
    <t>Papel</t>
  </si>
  <si>
    <t>Tijolo</t>
  </si>
  <si>
    <t>Híbrido</t>
  </si>
  <si>
    <t>FOF</t>
  </si>
  <si>
    <t>Desenvolvimento</t>
  </si>
  <si>
    <t>Hotelaria</t>
  </si>
  <si>
    <t>Total</t>
  </si>
  <si>
    <t>Distribuição dos Investimentos</t>
  </si>
  <si>
    <t>Meu salário:</t>
  </si>
  <si>
    <t>Rendimento da Carteira:</t>
  </si>
  <si>
    <t>Sugestão de Investimento:</t>
  </si>
  <si>
    <t>Prazo do Investimento</t>
  </si>
  <si>
    <t>Conservador</t>
  </si>
  <si>
    <t>Moderado</t>
  </si>
  <si>
    <t>Agressivo</t>
  </si>
  <si>
    <t>Percentual Indicado</t>
  </si>
  <si>
    <t>Perfil</t>
  </si>
  <si>
    <t>Categoria de FII</t>
  </si>
  <si>
    <t>Porcentagem</t>
  </si>
  <si>
    <t>Chave</t>
  </si>
  <si>
    <t>Pelo período de (anos):</t>
  </si>
  <si>
    <t>Total investido por mês: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</si>
</sst>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5" formatCode="&quot;R$&quot;\ #,##0.00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A4B8F"/>
        <bgColor indexed="64"/>
      </patternFill>
    </fill>
    <fill>
      <patternFill patternType="solid">
        <fgColor rgb="FF2980B9"/>
        <bgColor indexed="64"/>
      </patternFill>
    </fill>
    <fill>
      <patternFill patternType="solid">
        <fgColor rgb="FF4FC3F7"/>
        <bgColor indexed="64"/>
      </patternFill>
    </fill>
    <fill>
      <patternFill patternType="solid">
        <fgColor rgb="FF00206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Border="1"/>
    <xf numFmtId="0" fontId="1" fillId="0" borderId="0" xfId="0" applyFont="1"/>
    <xf numFmtId="165" fontId="0" fillId="0" borderId="5" xfId="0" applyNumberFormat="1" applyBorder="1" applyAlignment="1">
      <alignment horizontal="right" indent="1"/>
    </xf>
    <xf numFmtId="10" fontId="0" fillId="0" borderId="5" xfId="0" applyNumberFormat="1" applyBorder="1" applyAlignment="1">
      <alignment horizontal="right" indent="1"/>
    </xf>
    <xf numFmtId="8" fontId="0" fillId="4" borderId="8" xfId="0" applyNumberFormat="1" applyFill="1" applyBorder="1" applyAlignment="1">
      <alignment horizontal="right" indent="1"/>
    </xf>
    <xf numFmtId="8" fontId="0" fillId="4" borderId="5" xfId="0" applyNumberFormat="1" applyFill="1" applyBorder="1" applyAlignment="1">
      <alignment horizontal="right" indent="1"/>
    </xf>
    <xf numFmtId="0" fontId="1" fillId="3" borderId="4" xfId="0" applyFont="1" applyFill="1" applyBorder="1" applyAlignment="1">
      <alignment horizontal="left" indent="1"/>
    </xf>
    <xf numFmtId="0" fontId="1" fillId="3" borderId="0" xfId="0" applyFont="1" applyFill="1" applyBorder="1" applyAlignment="1">
      <alignment horizontal="left" indent="1"/>
    </xf>
    <xf numFmtId="0" fontId="1" fillId="4" borderId="6" xfId="0" applyFont="1" applyFill="1" applyBorder="1" applyAlignment="1">
      <alignment horizontal="left" indent="1"/>
    </xf>
    <xf numFmtId="0" fontId="1" fillId="4" borderId="7" xfId="0" applyFont="1" applyFill="1" applyBorder="1" applyAlignment="1">
      <alignment horizontal="left" indent="1"/>
    </xf>
    <xf numFmtId="0" fontId="1" fillId="4" borderId="11" xfId="0" applyFont="1" applyFill="1" applyBorder="1" applyAlignment="1">
      <alignment horizontal="left" indent="1"/>
    </xf>
    <xf numFmtId="0" fontId="1" fillId="3" borderId="6" xfId="0" applyFont="1" applyFill="1" applyBorder="1" applyAlignment="1">
      <alignment horizontal="left" indent="1"/>
    </xf>
    <xf numFmtId="0" fontId="1" fillId="3" borderId="7" xfId="0" applyFont="1" applyFill="1" applyBorder="1" applyAlignment="1">
      <alignment horizontal="left" indent="1"/>
    </xf>
    <xf numFmtId="9" fontId="0" fillId="0" borderId="0" xfId="0" applyNumberFormat="1" applyBorder="1"/>
    <xf numFmtId="9" fontId="0" fillId="0" borderId="0" xfId="0" applyNumberFormat="1" applyFill="1" applyBorder="1"/>
    <xf numFmtId="0" fontId="1" fillId="3" borderId="9" xfId="0" applyFont="1" applyFill="1" applyBorder="1" applyAlignment="1">
      <alignment horizontal="left" indent="1"/>
    </xf>
    <xf numFmtId="0" fontId="1" fillId="3" borderId="10" xfId="0" applyFont="1" applyFill="1" applyBorder="1" applyAlignment="1">
      <alignment horizontal="left" indent="1"/>
    </xf>
    <xf numFmtId="165" fontId="0" fillId="4" borderId="8" xfId="0" applyNumberFormat="1" applyFill="1" applyBorder="1" applyAlignment="1">
      <alignment horizontal="right" indent="1"/>
    </xf>
    <xf numFmtId="0" fontId="1" fillId="5" borderId="14" xfId="0" applyFont="1" applyFill="1" applyBorder="1"/>
    <xf numFmtId="0" fontId="1" fillId="5" borderId="15" xfId="0" applyFont="1" applyFill="1" applyBorder="1"/>
    <xf numFmtId="0" fontId="1" fillId="5" borderId="16" xfId="0" applyFont="1" applyFill="1" applyBorder="1"/>
    <xf numFmtId="0" fontId="0" fillId="4" borderId="17" xfId="0" applyFill="1" applyBorder="1" applyAlignment="1">
      <alignment horizontal="left" indent="1"/>
    </xf>
    <xf numFmtId="0" fontId="0" fillId="3" borderId="17" xfId="0" applyFill="1" applyBorder="1" applyAlignment="1">
      <alignment horizontal="left" indent="1"/>
    </xf>
    <xf numFmtId="0" fontId="0" fillId="4" borderId="19" xfId="0" applyFill="1" applyBorder="1" applyAlignment="1">
      <alignment horizontal="left" indent="1"/>
    </xf>
    <xf numFmtId="0" fontId="0" fillId="4" borderId="13" xfId="0" applyFill="1" applyBorder="1" applyAlignment="1">
      <alignment horizontal="left" indent="1"/>
    </xf>
    <xf numFmtId="0" fontId="0" fillId="3" borderId="13" xfId="0" applyFill="1" applyBorder="1" applyAlignment="1">
      <alignment horizontal="left" indent="1"/>
    </xf>
    <xf numFmtId="0" fontId="0" fillId="4" borderId="20" xfId="0" applyFill="1" applyBorder="1" applyAlignment="1">
      <alignment horizontal="left" indent="1"/>
    </xf>
    <xf numFmtId="9" fontId="0" fillId="4" borderId="18" xfId="0" applyNumberFormat="1" applyFill="1" applyBorder="1" applyAlignment="1">
      <alignment horizontal="right" indent="1"/>
    </xf>
    <xf numFmtId="9" fontId="0" fillId="3" borderId="18" xfId="0" applyNumberFormat="1" applyFill="1" applyBorder="1" applyAlignment="1">
      <alignment horizontal="right" indent="1"/>
    </xf>
    <xf numFmtId="9" fontId="0" fillId="4" borderId="21" xfId="0" applyNumberFormat="1" applyFill="1" applyBorder="1" applyAlignment="1">
      <alignment horizontal="right" indent="1"/>
    </xf>
    <xf numFmtId="0" fontId="0" fillId="0" borderId="22" xfId="0" applyBorder="1" applyAlignment="1">
      <alignment horizontal="left" indent="1"/>
    </xf>
    <xf numFmtId="0" fontId="0" fillId="0" borderId="23" xfId="0" applyBorder="1" applyAlignment="1">
      <alignment horizontal="left" indent="1"/>
    </xf>
    <xf numFmtId="165" fontId="0" fillId="0" borderId="23" xfId="0" applyNumberFormat="1" applyBorder="1" applyAlignment="1">
      <alignment horizontal="right" indent="1"/>
    </xf>
    <xf numFmtId="165" fontId="0" fillId="0" borderId="24" xfId="0" applyNumberFormat="1" applyBorder="1" applyAlignment="1">
      <alignment horizontal="right" indent="1"/>
    </xf>
    <xf numFmtId="0" fontId="0" fillId="0" borderId="25" xfId="0" applyBorder="1" applyAlignment="1">
      <alignment horizontal="left" indent="1"/>
    </xf>
    <xf numFmtId="0" fontId="0" fillId="0" borderId="26" xfId="0" applyBorder="1" applyAlignment="1">
      <alignment horizontal="left" indent="1"/>
    </xf>
    <xf numFmtId="10" fontId="0" fillId="0" borderId="26" xfId="0" applyNumberFormat="1" applyBorder="1" applyAlignment="1">
      <alignment horizontal="right" indent="1"/>
    </xf>
    <xf numFmtId="10" fontId="0" fillId="0" borderId="27" xfId="0" applyNumberFormat="1" applyBorder="1" applyAlignment="1">
      <alignment horizontal="right" indent="1"/>
    </xf>
    <xf numFmtId="0" fontId="0" fillId="0" borderId="28" xfId="0" applyBorder="1" applyAlignment="1">
      <alignment horizontal="left" indent="1"/>
    </xf>
    <xf numFmtId="0" fontId="0" fillId="0" borderId="29" xfId="0" applyBorder="1" applyAlignment="1">
      <alignment horizontal="left" indent="1"/>
    </xf>
    <xf numFmtId="0" fontId="0" fillId="4" borderId="30" xfId="0" applyFill="1" applyBorder="1" applyAlignment="1">
      <alignment horizontal="left" indent="1"/>
    </xf>
    <xf numFmtId="0" fontId="0" fillId="4" borderId="31" xfId="0" applyFill="1" applyBorder="1" applyAlignment="1">
      <alignment horizontal="left" indent="1"/>
    </xf>
    <xf numFmtId="0" fontId="0" fillId="4" borderId="32" xfId="0" applyFill="1" applyBorder="1" applyAlignment="1">
      <alignment horizontal="left" indent="1"/>
    </xf>
    <xf numFmtId="165" fontId="0" fillId="4" borderId="7" xfId="0" applyNumberFormat="1" applyFill="1" applyBorder="1" applyAlignment="1">
      <alignment horizontal="right" indent="1"/>
    </xf>
    <xf numFmtId="0" fontId="0" fillId="4" borderId="8" xfId="0" applyFill="1" applyBorder="1" applyAlignment="1">
      <alignment horizontal="right" indent="1"/>
    </xf>
    <xf numFmtId="0" fontId="1" fillId="3" borderId="22" xfId="0" applyFont="1" applyFill="1" applyBorder="1" applyAlignment="1">
      <alignment horizontal="left" indent="1"/>
    </xf>
    <xf numFmtId="0" fontId="1" fillId="3" borderId="23" xfId="0" applyFont="1" applyFill="1" applyBorder="1" applyAlignment="1">
      <alignment horizontal="left" indent="1"/>
    </xf>
    <xf numFmtId="165" fontId="0" fillId="0" borderId="24" xfId="0" applyNumberFormat="1" applyBorder="1" applyAlignment="1">
      <alignment horizontal="right" indent="1"/>
    </xf>
    <xf numFmtId="0" fontId="1" fillId="3" borderId="25" xfId="0" applyFont="1" applyFill="1" applyBorder="1" applyAlignment="1">
      <alignment horizontal="left" indent="1"/>
    </xf>
    <xf numFmtId="0" fontId="1" fillId="3" borderId="26" xfId="0" applyFont="1" applyFill="1" applyBorder="1" applyAlignment="1">
      <alignment horizontal="left" indent="1"/>
    </xf>
    <xf numFmtId="0" fontId="0" fillId="0" borderId="27" xfId="0" applyBorder="1" applyAlignment="1">
      <alignment horizontal="right" indent="1"/>
    </xf>
    <xf numFmtId="0" fontId="1" fillId="4" borderId="25" xfId="0" applyFont="1" applyFill="1" applyBorder="1" applyAlignment="1">
      <alignment horizontal="left" indent="1"/>
    </xf>
    <xf numFmtId="0" fontId="1" fillId="4" borderId="26" xfId="0" applyFont="1" applyFill="1" applyBorder="1" applyAlignment="1">
      <alignment horizontal="left" indent="1"/>
    </xf>
    <xf numFmtId="0" fontId="1" fillId="4" borderId="29" xfId="0" applyFont="1" applyFill="1" applyBorder="1" applyAlignment="1">
      <alignment horizontal="left" indent="1"/>
    </xf>
    <xf numFmtId="8" fontId="0" fillId="4" borderId="27" xfId="0" applyNumberFormat="1" applyFill="1" applyBorder="1" applyAlignment="1">
      <alignment horizontal="right" indent="1"/>
    </xf>
    <xf numFmtId="0" fontId="1" fillId="3" borderId="28" xfId="0" applyFont="1" applyFill="1" applyBorder="1" applyAlignment="1">
      <alignment horizontal="left" indent="1"/>
    </xf>
    <xf numFmtId="0" fontId="1" fillId="3" borderId="29" xfId="0" applyFont="1" applyFill="1" applyBorder="1" applyAlignment="1">
      <alignment horizontal="left" indent="1"/>
    </xf>
    <xf numFmtId="8" fontId="0" fillId="4" borderId="24" xfId="0" applyNumberFormat="1" applyFill="1" applyBorder="1" applyAlignment="1">
      <alignment horizontal="right" indent="1"/>
    </xf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left" indent="1"/>
    </xf>
    <xf numFmtId="0" fontId="1" fillId="3" borderId="28" xfId="0" applyFont="1" applyFill="1" applyBorder="1" applyAlignment="1">
      <alignment horizontal="center"/>
    </xf>
    <xf numFmtId="0" fontId="1" fillId="3" borderId="34" xfId="0" applyFont="1" applyFill="1" applyBorder="1" applyAlignment="1">
      <alignment horizontal="center"/>
    </xf>
    <xf numFmtId="8" fontId="0" fillId="4" borderId="34" xfId="0" applyNumberFormat="1" applyFill="1" applyBorder="1" applyAlignment="1">
      <alignment horizontal="right" indent="1"/>
    </xf>
    <xf numFmtId="8" fontId="0" fillId="4" borderId="35" xfId="0" applyNumberFormat="1" applyFill="1" applyBorder="1" applyAlignment="1">
      <alignment horizontal="right" indent="1"/>
    </xf>
    <xf numFmtId="8" fontId="0" fillId="4" borderId="33" xfId="0" applyNumberFormat="1" applyFill="1" applyBorder="1" applyAlignment="1">
      <alignment horizontal="right" indent="1"/>
    </xf>
    <xf numFmtId="8" fontId="0" fillId="4" borderId="36" xfId="0" applyNumberFormat="1" applyFill="1" applyBorder="1" applyAlignment="1">
      <alignment horizontal="right" indent="1"/>
    </xf>
    <xf numFmtId="0" fontId="0" fillId="0" borderId="24" xfId="0" applyBorder="1" applyAlignment="1">
      <alignment horizontal="center" vertical="center"/>
    </xf>
    <xf numFmtId="165" fontId="0" fillId="0" borderId="27" xfId="0" applyNumberFormat="1" applyBorder="1" applyAlignment="1">
      <alignment horizontal="right" indent="1"/>
    </xf>
    <xf numFmtId="0" fontId="1" fillId="3" borderId="12" xfId="0" applyFont="1" applyFill="1" applyBorder="1" applyAlignment="1">
      <alignment horizontal="left" indent="1"/>
    </xf>
    <xf numFmtId="0" fontId="1" fillId="3" borderId="37" xfId="0" applyFont="1" applyFill="1" applyBorder="1" applyAlignment="1">
      <alignment horizontal="left" indent="1"/>
    </xf>
    <xf numFmtId="0" fontId="0" fillId="0" borderId="9" xfId="0" applyBorder="1" applyAlignment="1">
      <alignment horizontal="left" indent="1"/>
    </xf>
    <xf numFmtId="0" fontId="0" fillId="0" borderId="12" xfId="0" applyBorder="1" applyAlignment="1">
      <alignment horizontal="left" indent="1"/>
    </xf>
    <xf numFmtId="9" fontId="0" fillId="0" borderId="37" xfId="0" applyNumberFormat="1" applyBorder="1" applyAlignment="1">
      <alignment horizontal="right" indent="1"/>
    </xf>
    <xf numFmtId="9" fontId="0" fillId="0" borderId="12" xfId="0" applyNumberFormat="1" applyBorder="1" applyAlignment="1">
      <alignment horizontal="right" indent="1"/>
    </xf>
    <xf numFmtId="9" fontId="0" fillId="0" borderId="38" xfId="0" applyNumberFormat="1" applyBorder="1" applyAlignment="1">
      <alignment horizontal="right" indent="1"/>
    </xf>
    <xf numFmtId="9" fontId="0" fillId="0" borderId="29" xfId="0" applyNumberFormat="1" applyBorder="1" applyAlignment="1">
      <alignment horizontal="right" indent="1"/>
    </xf>
    <xf numFmtId="9" fontId="0" fillId="0" borderId="39" xfId="0" applyNumberFormat="1" applyBorder="1" applyAlignment="1">
      <alignment horizontal="right" indent="1"/>
    </xf>
    <xf numFmtId="9" fontId="0" fillId="0" borderId="28" xfId="0" applyNumberFormat="1" applyBorder="1" applyAlignment="1">
      <alignment horizontal="right" indent="1"/>
    </xf>
    <xf numFmtId="0" fontId="1" fillId="3" borderId="29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FC3F7"/>
      <color rgb="FF2980B9"/>
      <color rgb="FF1A4B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800" b="1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Exposição por Categoria de FII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800" b="1" i="0" u="none" strike="noStrike" kern="120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'App Meus FIIs'!$B$39:$B$44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</c:v>
                </c:pt>
                <c:pt idx="3">
                  <c:v>FOF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'App Meus FIIs'!$C$39:$C$44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AF6C-43BA-A628-A50B157E3D61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'App Meus FIIs'!$B$39:$B$44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</c:v>
                </c:pt>
                <c:pt idx="3">
                  <c:v>FOF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'App Meus FIIs'!$D$39:$D$44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6C-43BA-A628-A50B157E3D61}"/>
            </c:ext>
          </c:extLst>
        </c:ser>
        <c:ser>
          <c:idx val="2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'App Meus FIIs'!$B$39:$B$44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</c:v>
                </c:pt>
                <c:pt idx="3">
                  <c:v>FOF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'App Meus FIIs'!$E$39:$E$44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2-AF6C-43BA-A628-A50B157E3D6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prstDash val="solid"/>
      <a:round/>
      <a:headEnd type="none" w="med" len="med"/>
      <a:tailEnd type="none" w="med" len="med"/>
    </a:ln>
    <a:effectLst/>
  </c:spPr>
  <c:txPr>
    <a:bodyPr/>
    <a:lstStyle/>
    <a:p>
      <a:pPr>
        <a:defRPr>
          <a:solidFill>
            <a:schemeClr val="accent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1</xdr:rowOff>
    </xdr:from>
    <xdr:to>
      <xdr:col>6</xdr:col>
      <xdr:colOff>0</xdr:colOff>
      <xdr:row>11</xdr:row>
      <xdr:rowOff>150605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C949C55-B564-4EB5-9FE1-FDB477F7C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190501"/>
          <a:ext cx="5495925" cy="2055604"/>
        </a:xfrm>
        <a:prstGeom prst="rect">
          <a:avLst/>
        </a:prstGeom>
        <a:solidFill>
          <a:srgbClr val="1A4B8F"/>
        </a:solidFill>
      </xdr:spPr>
    </xdr:pic>
    <xdr:clientData/>
  </xdr:twoCellAnchor>
  <xdr:twoCellAnchor>
    <xdr:from>
      <xdr:col>1</xdr:col>
      <xdr:colOff>19050</xdr:colOff>
      <xdr:row>46</xdr:row>
      <xdr:rowOff>23812</xdr:rowOff>
    </xdr:from>
    <xdr:to>
      <xdr:col>6</xdr:col>
      <xdr:colOff>9525</xdr:colOff>
      <xdr:row>60</xdr:row>
      <xdr:rowOff>100012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FD8F4CB-3C3A-4DEC-A42E-61B45B7ECB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3C3D-DF6A-46A3-96E3-E5A299C74DB3}">
  <dimension ref="A1:G76"/>
  <sheetViews>
    <sheetView showGridLines="0" showRowColHeaders="0" tabSelected="1" workbookViewId="0">
      <selection activeCell="B21" sqref="B21:E21"/>
    </sheetView>
  </sheetViews>
  <sheetFormatPr defaultColWidth="0" defaultRowHeight="15" zeroHeight="1" x14ac:dyDescent="0.25"/>
  <cols>
    <col min="1" max="1" width="8.5703125" customWidth="1"/>
    <col min="2" max="3" width="9.140625" customWidth="1"/>
    <col min="4" max="4" width="22.7109375" customWidth="1"/>
    <col min="5" max="5" width="25.140625" customWidth="1"/>
    <col min="6" max="6" width="16.5703125" customWidth="1"/>
    <col min="7" max="7" width="9.140625" customWidth="1"/>
    <col min="8" max="12" width="9.140625" hidden="1" customWidth="1"/>
    <col min="13" max="16384" width="9.140625" hidden="1"/>
  </cols>
  <sheetData>
    <row r="1" spans="2:6" x14ac:dyDescent="0.25"/>
    <row r="2" spans="2:6" x14ac:dyDescent="0.25"/>
    <row r="3" spans="2:6" x14ac:dyDescent="0.25"/>
    <row r="4" spans="2:6" x14ac:dyDescent="0.25"/>
    <row r="5" spans="2:6" x14ac:dyDescent="0.25"/>
    <row r="6" spans="2:6" x14ac:dyDescent="0.25"/>
    <row r="7" spans="2:6" x14ac:dyDescent="0.25"/>
    <row r="8" spans="2:6" x14ac:dyDescent="0.25"/>
    <row r="9" spans="2:6" x14ac:dyDescent="0.25"/>
    <row r="10" spans="2:6" x14ac:dyDescent="0.25"/>
    <row r="11" spans="2:6" x14ac:dyDescent="0.25"/>
    <row r="12" spans="2:6" x14ac:dyDescent="0.25"/>
    <row r="13" spans="2:6" ht="15.75" thickBot="1" x14ac:dyDescent="0.3"/>
    <row r="14" spans="2:6" ht="18.75" x14ac:dyDescent="0.25">
      <c r="B14" s="82" t="s">
        <v>0</v>
      </c>
      <c r="C14" s="83"/>
      <c r="D14" s="83"/>
      <c r="E14" s="83"/>
      <c r="F14" s="84"/>
    </row>
    <row r="15" spans="2:6" x14ac:dyDescent="0.25">
      <c r="B15" s="31" t="s">
        <v>25</v>
      </c>
      <c r="C15" s="32"/>
      <c r="D15" s="39"/>
      <c r="E15" s="33">
        <v>20000</v>
      </c>
      <c r="F15" s="34"/>
    </row>
    <row r="16" spans="2:6" x14ac:dyDescent="0.25">
      <c r="B16" s="35" t="s">
        <v>26</v>
      </c>
      <c r="C16" s="36"/>
      <c r="D16" s="40"/>
      <c r="E16" s="37">
        <v>9.9000000000000008E-3</v>
      </c>
      <c r="F16" s="38"/>
    </row>
    <row r="17" spans="1:6" ht="15.75" thickBot="1" x14ac:dyDescent="0.3">
      <c r="B17" s="41" t="s">
        <v>27</v>
      </c>
      <c r="C17" s="42"/>
      <c r="D17" s="43"/>
      <c r="E17" s="44">
        <f>E15*30%</f>
        <v>6000</v>
      </c>
      <c r="F17" s="45"/>
    </row>
    <row r="18" spans="1:6" x14ac:dyDescent="0.25"/>
    <row r="19" spans="1:6" ht="15.75" thickBot="1" x14ac:dyDescent="0.3"/>
    <row r="20" spans="1:6" ht="18.75" x14ac:dyDescent="0.25">
      <c r="B20" s="82" t="s">
        <v>1</v>
      </c>
      <c r="C20" s="83"/>
      <c r="D20" s="83"/>
      <c r="E20" s="83"/>
      <c r="F20" s="84"/>
    </row>
    <row r="21" spans="1:6" x14ac:dyDescent="0.25">
      <c r="B21" s="46" t="s">
        <v>2</v>
      </c>
      <c r="C21" s="47"/>
      <c r="D21" s="47"/>
      <c r="E21" s="56"/>
      <c r="F21" s="48">
        <v>6500</v>
      </c>
    </row>
    <row r="22" spans="1:6" x14ac:dyDescent="0.25">
      <c r="B22" s="49" t="s">
        <v>37</v>
      </c>
      <c r="C22" s="50"/>
      <c r="D22" s="50"/>
      <c r="E22" s="57"/>
      <c r="F22" s="51">
        <v>2</v>
      </c>
    </row>
    <row r="23" spans="1:6" x14ac:dyDescent="0.25">
      <c r="B23" s="7" t="s">
        <v>3</v>
      </c>
      <c r="C23" s="8"/>
      <c r="D23" s="8"/>
      <c r="E23" s="8"/>
      <c r="F23" s="4">
        <v>1.0789999999999999E-2</v>
      </c>
    </row>
    <row r="24" spans="1:6" x14ac:dyDescent="0.25">
      <c r="B24" s="52" t="s">
        <v>4</v>
      </c>
      <c r="C24" s="53"/>
      <c r="D24" s="53"/>
      <c r="E24" s="54"/>
      <c r="F24" s="55">
        <f>FV(tax_rend_mes,anos*12,valor_aportado*-1)</f>
        <v>176979.5774346939</v>
      </c>
    </row>
    <row r="25" spans="1:6" ht="15.75" thickBot="1" x14ac:dyDescent="0.3">
      <c r="B25" s="9" t="s">
        <v>5</v>
      </c>
      <c r="C25" s="10"/>
      <c r="D25" s="10"/>
      <c r="E25" s="11"/>
      <c r="F25" s="5">
        <f>(patrimonio*rendimentodacarteira)</f>
        <v>1752.0978166034697</v>
      </c>
    </row>
    <row r="26" spans="1:6" ht="15.75" thickBot="1" x14ac:dyDescent="0.3"/>
    <row r="27" spans="1:6" ht="18.75" x14ac:dyDescent="0.25">
      <c r="B27" s="82" t="s">
        <v>6</v>
      </c>
      <c r="C27" s="83"/>
      <c r="D27" s="83"/>
      <c r="E27" s="83"/>
      <c r="F27" s="84"/>
    </row>
    <row r="28" spans="1:6" x14ac:dyDescent="0.25">
      <c r="B28" s="59" t="s">
        <v>28</v>
      </c>
      <c r="C28" s="60"/>
      <c r="D28" s="63"/>
      <c r="E28" s="64" t="s">
        <v>12</v>
      </c>
      <c r="F28" s="61" t="s">
        <v>13</v>
      </c>
    </row>
    <row r="29" spans="1:6" x14ac:dyDescent="0.25">
      <c r="A29" s="2">
        <v>2</v>
      </c>
      <c r="B29" s="49" t="s">
        <v>7</v>
      </c>
      <c r="C29" s="50"/>
      <c r="D29" s="57"/>
      <c r="E29" s="65">
        <f>FV($F$23,A$29*12,$F$21*-1)</f>
        <v>176979.5774346939</v>
      </c>
      <c r="F29" s="58">
        <f>E29*rendimentodacarteira</f>
        <v>1752.0978166034697</v>
      </c>
    </row>
    <row r="30" spans="1:6" x14ac:dyDescent="0.25">
      <c r="A30" s="2">
        <v>5</v>
      </c>
      <c r="B30" s="49" t="s">
        <v>8</v>
      </c>
      <c r="C30" s="50"/>
      <c r="D30" s="57"/>
      <c r="E30" s="66">
        <f>FV($F$23,A$30*12,$F$21*-1)</f>
        <v>544549.94099016965</v>
      </c>
      <c r="F30" s="55">
        <f>E30*rendimentodacarteira</f>
        <v>5391.0444158026803</v>
      </c>
    </row>
    <row r="31" spans="1:6" x14ac:dyDescent="0.25">
      <c r="A31" s="2">
        <v>10</v>
      </c>
      <c r="B31" s="49" t="s">
        <v>9</v>
      </c>
      <c r="C31" s="50"/>
      <c r="D31" s="57"/>
      <c r="E31" s="66">
        <f>FV($F$23,A$31*12,$F$21*-1)</f>
        <v>1581347.3814461194</v>
      </c>
      <c r="F31" s="55">
        <f>E31*rendimentodacarteira</f>
        <v>15655.339076316583</v>
      </c>
    </row>
    <row r="32" spans="1:6" x14ac:dyDescent="0.25">
      <c r="A32" s="2">
        <v>20</v>
      </c>
      <c r="B32" s="46" t="s">
        <v>10</v>
      </c>
      <c r="C32" s="47"/>
      <c r="D32" s="56"/>
      <c r="E32" s="65">
        <f>FV($F$23,A32*12,F21*-1)</f>
        <v>7313789.6006310238</v>
      </c>
      <c r="F32" s="68">
        <f>E32*rendimentodacarteira</f>
        <v>72406.517046247143</v>
      </c>
    </row>
    <row r="33" spans="1:6" ht="15.75" thickBot="1" x14ac:dyDescent="0.3">
      <c r="A33" s="2">
        <v>30</v>
      </c>
      <c r="B33" s="12" t="s">
        <v>11</v>
      </c>
      <c r="C33" s="13"/>
      <c r="D33" s="62"/>
      <c r="E33" s="67">
        <f>FV($F$23,A$33*12,$F$21*-1)</f>
        <v>28094102.757530645</v>
      </c>
      <c r="F33" s="6">
        <f>E33*rendimentodacarteira</f>
        <v>278131.61729955341</v>
      </c>
    </row>
    <row r="34" spans="1:6" ht="15.75" thickBot="1" x14ac:dyDescent="0.3"/>
    <row r="35" spans="1:6" ht="18.75" x14ac:dyDescent="0.25">
      <c r="B35" s="82" t="s">
        <v>24</v>
      </c>
      <c r="C35" s="83"/>
      <c r="D35" s="83"/>
      <c r="E35" s="83"/>
      <c r="F35" s="84"/>
    </row>
    <row r="36" spans="1:6" x14ac:dyDescent="0.25">
      <c r="B36" s="46" t="s">
        <v>14</v>
      </c>
      <c r="C36" s="47"/>
      <c r="D36" s="47"/>
      <c r="E36" s="56"/>
      <c r="F36" s="69" t="s">
        <v>31</v>
      </c>
    </row>
    <row r="37" spans="1:6" x14ac:dyDescent="0.25">
      <c r="B37" s="7" t="s">
        <v>38</v>
      </c>
      <c r="C37" s="8"/>
      <c r="D37" s="8"/>
      <c r="E37" s="81"/>
      <c r="F37" s="3">
        <f>valor_aportado</f>
        <v>6500</v>
      </c>
    </row>
    <row r="38" spans="1:6" x14ac:dyDescent="0.25">
      <c r="B38" s="16" t="s">
        <v>15</v>
      </c>
      <c r="C38" s="71"/>
      <c r="D38" s="72" t="s">
        <v>32</v>
      </c>
      <c r="E38" s="71"/>
      <c r="F38" s="17" t="s">
        <v>16</v>
      </c>
    </row>
    <row r="39" spans="1:6" x14ac:dyDescent="0.25">
      <c r="B39" s="31" t="s">
        <v>17</v>
      </c>
      <c r="C39" s="39"/>
      <c r="D39" s="79">
        <f>VLOOKUP($F$36&amp;"-"&amp;B39,Planilha2!$A:$D,4,FALSE)</f>
        <v>0.5</v>
      </c>
      <c r="E39" s="80"/>
      <c r="F39" s="48">
        <f>D39*$F$37</f>
        <v>3250</v>
      </c>
    </row>
    <row r="40" spans="1:6" x14ac:dyDescent="0.25">
      <c r="B40" s="35" t="s">
        <v>18</v>
      </c>
      <c r="C40" s="40"/>
      <c r="D40" s="77">
        <f>VLOOKUP($F$36&amp;"-"&amp;B40,Planilha2!$A:$D,4,FALSE)</f>
        <v>0.1</v>
      </c>
      <c r="E40" s="78"/>
      <c r="F40" s="70">
        <f t="shared" ref="F40:F44" si="0">D40*$F$37</f>
        <v>650</v>
      </c>
    </row>
    <row r="41" spans="1:6" x14ac:dyDescent="0.25">
      <c r="B41" s="35" t="s">
        <v>19</v>
      </c>
      <c r="C41" s="40"/>
      <c r="D41" s="77">
        <f>VLOOKUP($F$36&amp;"-"&amp;B41,Planilha2!$A:$D,4,FALSE)</f>
        <v>0.05</v>
      </c>
      <c r="E41" s="78"/>
      <c r="F41" s="70">
        <f t="shared" si="0"/>
        <v>325</v>
      </c>
    </row>
    <row r="42" spans="1:6" x14ac:dyDescent="0.25">
      <c r="B42" s="35" t="s">
        <v>20</v>
      </c>
      <c r="C42" s="40"/>
      <c r="D42" s="77">
        <f>VLOOKUP($F$36&amp;"-"&amp;B42,Planilha2!$A:$D,4,FALSE)</f>
        <v>0.05</v>
      </c>
      <c r="E42" s="78"/>
      <c r="F42" s="70">
        <f t="shared" si="0"/>
        <v>325</v>
      </c>
    </row>
    <row r="43" spans="1:6" x14ac:dyDescent="0.25">
      <c r="B43" s="35" t="s">
        <v>21</v>
      </c>
      <c r="C43" s="40"/>
      <c r="D43" s="77">
        <f>VLOOKUP($F$36&amp;"-"&amp;B43,Planilha2!$A:$D,4,FALSE)</f>
        <v>0.2</v>
      </c>
      <c r="E43" s="78"/>
      <c r="F43" s="48">
        <f t="shared" si="0"/>
        <v>1300</v>
      </c>
    </row>
    <row r="44" spans="1:6" x14ac:dyDescent="0.25">
      <c r="B44" s="73" t="s">
        <v>22</v>
      </c>
      <c r="C44" s="74"/>
      <c r="D44" s="75">
        <f>VLOOKUP($F$36&amp;"-"&amp;B44,Planilha2!$A:$D,4,FALSE)</f>
        <v>0.1</v>
      </c>
      <c r="E44" s="76"/>
      <c r="F44" s="3">
        <f t="shared" si="0"/>
        <v>650</v>
      </c>
    </row>
    <row r="45" spans="1:6" ht="15.75" thickBot="1" x14ac:dyDescent="0.3">
      <c r="B45" s="9" t="s">
        <v>23</v>
      </c>
      <c r="C45" s="10"/>
      <c r="D45" s="10"/>
      <c r="E45" s="10"/>
      <c r="F45" s="18">
        <f>SUM(F39:F44)</f>
        <v>6500</v>
      </c>
    </row>
    <row r="46" spans="1:6" x14ac:dyDescent="0.25"/>
    <row r="47" spans="1:6" x14ac:dyDescent="0.25"/>
    <row r="48" spans="1:6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hidden="1" x14ac:dyDescent="0.25"/>
    <row r="61" customFormat="1" hidden="1" x14ac:dyDescent="0.25"/>
    <row r="62" customFormat="1" hidden="1" x14ac:dyDescent="0.25"/>
    <row r="63" customFormat="1" hidden="1" x14ac:dyDescent="0.25"/>
    <row r="64" customFormat="1" hidden="1" x14ac:dyDescent="0.25"/>
    <row r="65" customFormat="1" hidden="1" x14ac:dyDescent="0.25"/>
    <row r="66" customFormat="1" hidden="1" x14ac:dyDescent="0.25"/>
    <row r="67" customFormat="1" hidden="1" x14ac:dyDescent="0.25"/>
    <row r="68" customFormat="1" hidden="1" x14ac:dyDescent="0.25"/>
    <row r="69" customFormat="1" hidden="1" x14ac:dyDescent="0.25"/>
    <row r="70" customFormat="1" hidden="1" x14ac:dyDescent="0.25"/>
    <row r="71" customFormat="1" hidden="1" x14ac:dyDescent="0.25"/>
    <row r="72" customFormat="1" hidden="1" x14ac:dyDescent="0.25"/>
    <row r="73" customFormat="1" hidden="1" x14ac:dyDescent="0.25"/>
    <row r="74" customFormat="1" hidden="1" x14ac:dyDescent="0.25"/>
    <row r="75" customFormat="1" hidden="1" x14ac:dyDescent="0.25"/>
    <row r="76" customFormat="1" hidden="1" x14ac:dyDescent="0.25"/>
  </sheetData>
  <mergeCells count="38">
    <mergeCell ref="B45:E45"/>
    <mergeCell ref="B14:F14"/>
    <mergeCell ref="B20:F20"/>
    <mergeCell ref="B21:E21"/>
    <mergeCell ref="B22:E22"/>
    <mergeCell ref="B23:E23"/>
    <mergeCell ref="B24:E24"/>
    <mergeCell ref="E15:F15"/>
    <mergeCell ref="E16:F16"/>
    <mergeCell ref="E17:F17"/>
    <mergeCell ref="B35:F35"/>
    <mergeCell ref="B39:C39"/>
    <mergeCell ref="B40:C40"/>
    <mergeCell ref="B41:C41"/>
    <mergeCell ref="B42:C42"/>
    <mergeCell ref="B43:C43"/>
    <mergeCell ref="D39:E39"/>
    <mergeCell ref="D40:E40"/>
    <mergeCell ref="D41:E41"/>
    <mergeCell ref="D42:E42"/>
    <mergeCell ref="B37:D37"/>
    <mergeCell ref="B38:C38"/>
    <mergeCell ref="D38:E38"/>
    <mergeCell ref="B44:C44"/>
    <mergeCell ref="D43:E43"/>
    <mergeCell ref="D44:E44"/>
    <mergeCell ref="B29:D29"/>
    <mergeCell ref="B30:D30"/>
    <mergeCell ref="B31:D31"/>
    <mergeCell ref="B32:D32"/>
    <mergeCell ref="B33:D33"/>
    <mergeCell ref="B36:E36"/>
    <mergeCell ref="B27:F27"/>
    <mergeCell ref="B25:E25"/>
    <mergeCell ref="B28:D28"/>
    <mergeCell ref="B15:D15"/>
    <mergeCell ref="B16:D16"/>
    <mergeCell ref="B17:D17"/>
  </mergeCells>
  <dataValidations count="1">
    <dataValidation type="list" allowBlank="1" showInputMessage="1" showErrorMessage="1" sqref="F36" xr:uid="{7A93CF1E-C937-4C41-94E6-F13DBC82A01C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AB914-FF15-4387-A6B0-E7AB260C8FA2}">
  <dimension ref="A1:F19"/>
  <sheetViews>
    <sheetView workbookViewId="0">
      <selection activeCell="F9" sqref="F9"/>
    </sheetView>
  </sheetViews>
  <sheetFormatPr defaultRowHeight="15" x14ac:dyDescent="0.25"/>
  <cols>
    <col min="1" max="1" width="29.140625" bestFit="1" customWidth="1"/>
    <col min="2" max="2" width="15.5703125" customWidth="1"/>
    <col min="3" max="3" width="21.7109375" customWidth="1"/>
    <col min="4" max="4" width="16.5703125" customWidth="1"/>
    <col min="5" max="5" width="12.28515625" style="1" customWidth="1"/>
  </cols>
  <sheetData>
    <row r="1" spans="1:5" x14ac:dyDescent="0.25">
      <c r="A1" s="19" t="s">
        <v>36</v>
      </c>
      <c r="B1" s="20" t="s">
        <v>33</v>
      </c>
      <c r="C1" s="20" t="s">
        <v>34</v>
      </c>
      <c r="D1" s="21" t="s">
        <v>35</v>
      </c>
    </row>
    <row r="2" spans="1:5" x14ac:dyDescent="0.25">
      <c r="A2" s="22" t="str">
        <f>B2&amp;"-"&amp;C2</f>
        <v>Conservador-Papel</v>
      </c>
      <c r="B2" s="25" t="s">
        <v>29</v>
      </c>
      <c r="C2" s="25" t="s">
        <v>17</v>
      </c>
      <c r="D2" s="28">
        <v>0.3</v>
      </c>
      <c r="E2" s="14"/>
    </row>
    <row r="3" spans="1:5" x14ac:dyDescent="0.25">
      <c r="A3" s="22" t="str">
        <f t="shared" ref="A3:A19" si="0">B3&amp;"-"&amp;C3</f>
        <v>Conservador-Tijolo</v>
      </c>
      <c r="B3" s="25" t="s">
        <v>29</v>
      </c>
      <c r="C3" s="25" t="s">
        <v>18</v>
      </c>
      <c r="D3" s="28">
        <v>0.5</v>
      </c>
      <c r="E3" s="14"/>
    </row>
    <row r="4" spans="1:5" x14ac:dyDescent="0.25">
      <c r="A4" s="22" t="str">
        <f t="shared" si="0"/>
        <v>Conservador-Híbrido</v>
      </c>
      <c r="B4" s="25" t="s">
        <v>29</v>
      </c>
      <c r="C4" s="25" t="s">
        <v>19</v>
      </c>
      <c r="D4" s="28">
        <v>0.1</v>
      </c>
      <c r="E4" s="14"/>
    </row>
    <row r="5" spans="1:5" x14ac:dyDescent="0.25">
      <c r="A5" s="22" t="str">
        <f t="shared" si="0"/>
        <v>Conservador-FOF</v>
      </c>
      <c r="B5" s="25" t="s">
        <v>29</v>
      </c>
      <c r="C5" s="25" t="s">
        <v>20</v>
      </c>
      <c r="D5" s="28">
        <v>0.1</v>
      </c>
      <c r="E5" s="15"/>
    </row>
    <row r="6" spans="1:5" x14ac:dyDescent="0.25">
      <c r="A6" s="22" t="str">
        <f t="shared" si="0"/>
        <v>Conservador-Desenvolvimento</v>
      </c>
      <c r="B6" s="25" t="s">
        <v>29</v>
      </c>
      <c r="C6" s="25" t="s">
        <v>21</v>
      </c>
      <c r="D6" s="28">
        <v>0</v>
      </c>
      <c r="E6" s="15"/>
    </row>
    <row r="7" spans="1:5" x14ac:dyDescent="0.25">
      <c r="A7" s="22" t="str">
        <f t="shared" si="0"/>
        <v>Conservador-Hotelaria</v>
      </c>
      <c r="B7" s="25" t="s">
        <v>29</v>
      </c>
      <c r="C7" s="25" t="s">
        <v>22</v>
      </c>
      <c r="D7" s="28">
        <v>0</v>
      </c>
      <c r="E7" s="15"/>
    </row>
    <row r="8" spans="1:5" x14ac:dyDescent="0.25">
      <c r="A8" s="23" t="str">
        <f t="shared" si="0"/>
        <v>Moderado-Papel</v>
      </c>
      <c r="B8" s="26" t="s">
        <v>30</v>
      </c>
      <c r="C8" s="26" t="s">
        <v>17</v>
      </c>
      <c r="D8" s="29">
        <v>0.32</v>
      </c>
      <c r="E8" s="15"/>
    </row>
    <row r="9" spans="1:5" x14ac:dyDescent="0.25">
      <c r="A9" s="23" t="str">
        <f t="shared" si="0"/>
        <v>Moderado-Tijolo</v>
      </c>
      <c r="B9" s="26" t="s">
        <v>30</v>
      </c>
      <c r="C9" s="26" t="s">
        <v>18</v>
      </c>
      <c r="D9" s="29">
        <v>0.35</v>
      </c>
      <c r="E9" s="15"/>
    </row>
    <row r="10" spans="1:5" x14ac:dyDescent="0.25">
      <c r="A10" s="23" t="str">
        <f t="shared" si="0"/>
        <v>Moderado-Híbrido</v>
      </c>
      <c r="B10" s="26" t="s">
        <v>30</v>
      </c>
      <c r="C10" s="26" t="s">
        <v>19</v>
      </c>
      <c r="D10" s="29">
        <v>0.08</v>
      </c>
      <c r="E10" s="15"/>
    </row>
    <row r="11" spans="1:5" x14ac:dyDescent="0.25">
      <c r="A11" s="23" t="str">
        <f t="shared" si="0"/>
        <v>Moderado-FOF</v>
      </c>
      <c r="B11" s="26" t="s">
        <v>30</v>
      </c>
      <c r="C11" s="26" t="s">
        <v>20</v>
      </c>
      <c r="D11" s="29">
        <v>0.05</v>
      </c>
      <c r="E11" s="15"/>
    </row>
    <row r="12" spans="1:5" x14ac:dyDescent="0.25">
      <c r="A12" s="23" t="str">
        <f t="shared" si="0"/>
        <v>Moderado-Desenvolvimento</v>
      </c>
      <c r="B12" s="26" t="s">
        <v>30</v>
      </c>
      <c r="C12" s="26" t="s">
        <v>21</v>
      </c>
      <c r="D12" s="29">
        <v>0.1</v>
      </c>
      <c r="E12" s="15"/>
    </row>
    <row r="13" spans="1:5" x14ac:dyDescent="0.25">
      <c r="A13" s="23" t="str">
        <f t="shared" si="0"/>
        <v>Moderado-Hotelaria</v>
      </c>
      <c r="B13" s="26" t="s">
        <v>30</v>
      </c>
      <c r="C13" s="26" t="s">
        <v>22</v>
      </c>
      <c r="D13" s="29">
        <v>0.1</v>
      </c>
      <c r="E13" s="15"/>
    </row>
    <row r="14" spans="1:5" x14ac:dyDescent="0.25">
      <c r="A14" s="22" t="str">
        <f t="shared" si="0"/>
        <v>Agressivo-Papel</v>
      </c>
      <c r="B14" s="25" t="s">
        <v>31</v>
      </c>
      <c r="C14" s="25" t="s">
        <v>17</v>
      </c>
      <c r="D14" s="28">
        <v>0.5</v>
      </c>
      <c r="E14" s="15"/>
    </row>
    <row r="15" spans="1:5" x14ac:dyDescent="0.25">
      <c r="A15" s="22" t="str">
        <f t="shared" si="0"/>
        <v>Agressivo-Tijolo</v>
      </c>
      <c r="B15" s="25" t="s">
        <v>31</v>
      </c>
      <c r="C15" s="25" t="s">
        <v>18</v>
      </c>
      <c r="D15" s="28">
        <v>0.1</v>
      </c>
      <c r="E15" s="15"/>
    </row>
    <row r="16" spans="1:5" x14ac:dyDescent="0.25">
      <c r="A16" s="22" t="str">
        <f t="shared" si="0"/>
        <v>Agressivo-Híbrido</v>
      </c>
      <c r="B16" s="25" t="s">
        <v>31</v>
      </c>
      <c r="C16" s="25" t="s">
        <v>19</v>
      </c>
      <c r="D16" s="28">
        <v>0.05</v>
      </c>
      <c r="E16" s="15"/>
    </row>
    <row r="17" spans="1:5" x14ac:dyDescent="0.25">
      <c r="A17" s="22" t="str">
        <f t="shared" si="0"/>
        <v>Agressivo-FOF</v>
      </c>
      <c r="B17" s="25" t="s">
        <v>31</v>
      </c>
      <c r="C17" s="25" t="s">
        <v>20</v>
      </c>
      <c r="D17" s="28">
        <v>0.05</v>
      </c>
      <c r="E17" s="15"/>
    </row>
    <row r="18" spans="1:5" x14ac:dyDescent="0.25">
      <c r="A18" s="22" t="str">
        <f t="shared" si="0"/>
        <v>Agressivo-Desenvolvimento</v>
      </c>
      <c r="B18" s="25" t="s">
        <v>31</v>
      </c>
      <c r="C18" s="25" t="s">
        <v>21</v>
      </c>
      <c r="D18" s="28">
        <v>0.2</v>
      </c>
      <c r="E18" s="15"/>
    </row>
    <row r="19" spans="1:5" ht="15.75" thickBot="1" x14ac:dyDescent="0.3">
      <c r="A19" s="24" t="str">
        <f t="shared" si="0"/>
        <v>Agressivo-Hotelaria</v>
      </c>
      <c r="B19" s="27" t="s">
        <v>31</v>
      </c>
      <c r="C19" s="27" t="s">
        <v>22</v>
      </c>
      <c r="D19" s="30">
        <v>0.1</v>
      </c>
      <c r="E19" s="1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 Meus FIIs</vt:lpstr>
      <vt:lpstr>Planilha2</vt:lpstr>
      <vt:lpstr>anos</vt:lpstr>
      <vt:lpstr>Meu_Salario</vt:lpstr>
      <vt:lpstr>patrimonio</vt:lpstr>
      <vt:lpstr>rendimentodacarteira</vt:lpstr>
      <vt:lpstr>Suges_invest</vt:lpstr>
      <vt:lpstr>tax_rend_mes</vt:lpstr>
      <vt:lpstr>valor_aportado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Ernst Austen</dc:creator>
  <cp:lastModifiedBy>Ernst Austen</cp:lastModifiedBy>
  <dcterms:created xsi:type="dcterms:W3CDTF">2026-02-14T23:37:01Z</dcterms:created>
  <dcterms:modified xsi:type="dcterms:W3CDTF">2026-02-15T04:22:18Z</dcterms:modified>
</cp:coreProperties>
</file>